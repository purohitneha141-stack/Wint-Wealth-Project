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uroh\Downloads\"/>
    </mc:Choice>
  </mc:AlternateContent>
  <xr:revisionPtr revIDLastSave="0" documentId="13_ncr:1_{9A15EDD7-CE47-4704-A403-A8A2B86CE5F9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vestor Profile" sheetId="1" r:id="rId1"/>
    <sheet name="Bond Selection" sheetId="2" r:id="rId2"/>
    <sheet name="Cash Flow Schedule" sheetId="3" r:id="rId3"/>
    <sheet name="Returns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B11" i="4"/>
  <c r="B10" i="4"/>
  <c r="B9" i="4"/>
  <c r="B8" i="4"/>
  <c r="A4" i="4"/>
  <c r="C6" i="3"/>
  <c r="B18" i="4"/>
  <c r="D7" i="2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7" i="3"/>
  <c r="G40" i="3"/>
  <c r="G39" i="3"/>
  <c r="G38" i="3"/>
  <c r="G37" i="3"/>
  <c r="G36" i="3"/>
  <c r="G35" i="3"/>
  <c r="G33" i="3"/>
  <c r="G32" i="3"/>
  <c r="G31" i="3"/>
  <c r="G30" i="3"/>
  <c r="G29" i="3"/>
  <c r="G28" i="3"/>
  <c r="G26" i="3"/>
  <c r="G25" i="3"/>
  <c r="G24" i="3"/>
  <c r="G23" i="3"/>
  <c r="G22" i="3"/>
  <c r="G21" i="3"/>
  <c r="G19" i="3"/>
  <c r="G18" i="3"/>
  <c r="G17" i="3"/>
  <c r="G16" i="3"/>
  <c r="G15" i="3"/>
  <c r="G14" i="3"/>
  <c r="G13" i="3"/>
  <c r="G12" i="3"/>
  <c r="G11" i="3"/>
  <c r="G10" i="3"/>
  <c r="G9" i="3"/>
  <c r="G8" i="3"/>
  <c r="E39" i="3"/>
  <c r="E29" i="3"/>
  <c r="E17" i="3"/>
  <c r="D40" i="3"/>
  <c r="C40" i="3"/>
  <c r="C34" i="3"/>
  <c r="G34" i="3" s="1"/>
  <c r="C27" i="3"/>
  <c r="G27" i="3" s="1"/>
  <c r="C20" i="3"/>
  <c r="G20" i="3" s="1"/>
  <c r="D6" i="3"/>
  <c r="E6" i="3"/>
  <c r="G7" i="2"/>
  <c r="G7" i="3" l="1"/>
  <c r="F7" i="2"/>
  <c r="H5" i="2"/>
  <c r="H6" i="2"/>
  <c r="G6" i="3"/>
  <c r="E7" i="2"/>
  <c r="H4" i="2"/>
  <c r="G43" i="3" l="1"/>
  <c r="G42" i="3"/>
  <c r="B12" i="4" s="1"/>
  <c r="H7" i="2"/>
  <c r="B13" i="4" l="1"/>
  <c r="B15" i="4" s="1"/>
  <c r="D4" i="4"/>
</calcChain>
</file>

<file path=xl/sharedStrings.xml><?xml version="1.0" encoding="utf-8"?>
<sst xmlns="http://schemas.openxmlformats.org/spreadsheetml/2006/main" count="76" uniqueCount="74">
  <si>
    <t>Bond Portfolio Case Study — Investor Relations Executive, Wint Wealth</t>
  </si>
  <si>
    <t>Prepared by</t>
  </si>
  <si>
    <t>Neha Purohit</t>
  </si>
  <si>
    <t>Prepared for</t>
  </si>
  <si>
    <t>Date</t>
  </si>
  <si>
    <t>Investor Profile</t>
  </si>
  <si>
    <t>Available Capital</t>
  </si>
  <si>
    <t>Investment Horizon (months)</t>
  </si>
  <si>
    <t>Key Objective</t>
  </si>
  <si>
    <t>Purchase of residential property after 15 months</t>
  </si>
  <si>
    <t>Target Return (XIRR)</t>
  </si>
  <si>
    <t>Risk Appetite</t>
  </si>
  <si>
    <t>Requirements (from case brief)</t>
  </si>
  <si>
    <t>1. Safety of Principal — capital loss is not acceptable; funds are earmarked for a house purchase.</t>
  </si>
  <si>
    <t>2. Target Return — approx. 10% annualized return (XIRR).</t>
  </si>
  <si>
    <t>3. Defined Timeline — strictly a 15-month investment period, with liquidity required at the end.</t>
  </si>
  <si>
    <t>Approach Summary</t>
  </si>
  <si>
    <t>Bond Portfolio — Selected from Wint Wealth Live Bonds</t>
  </si>
  <si>
    <t>ISIN</t>
  </si>
  <si>
    <t>Issuer</t>
  </si>
  <si>
    <t>Credit
Rating</t>
  </si>
  <si>
    <t>Coupon
(p.a.)</t>
  </si>
  <si>
    <t>YTM
(p.a.)</t>
  </si>
  <si>
    <t>Tenure
(months)</t>
  </si>
  <si>
    <t>Allocation
(₹)</t>
  </si>
  <si>
    <t>Alloc.
(%)</t>
  </si>
  <si>
    <t>A-</t>
  </si>
  <si>
    <t>INE0RH707013</t>
  </si>
  <si>
    <t>TOTAL / WEIGHTED AVERAGE</t>
  </si>
  <si>
    <t>Consolidated Monthly Cash Flow Schedule</t>
  </si>
  <si>
    <t>Achintya Sec. (₹)</t>
  </si>
  <si>
    <t>Total Portfolio
Cash Flow (₹)</t>
  </si>
  <si>
    <t>TOTAL CASH IN / (OUT)</t>
  </si>
  <si>
    <t>PORTFOLIO XIRR</t>
  </si>
  <si>
    <t>Returns Summary</t>
  </si>
  <si>
    <t>TOTAL INVESTMENT</t>
  </si>
  <si>
    <t>Key Metrics</t>
  </si>
  <si>
    <t>Total Capital Deployed</t>
  </si>
  <si>
    <t>Weighted Average Coupon (p.a.)</t>
  </si>
  <si>
    <t>Weighted Average YTM (p.a.)</t>
  </si>
  <si>
    <t>Weighted Average Tenure (months)</t>
  </si>
  <si>
    <t>Portfolio XIRR (actual dated cash flows)</t>
  </si>
  <si>
    <t>Target XIRR (case brief)</t>
  </si>
  <si>
    <t>XIRR vs. Target</t>
  </si>
  <si>
    <t>Liquidity Check</t>
  </si>
  <si>
    <t>Investor's required liquidity date (15 months out)</t>
  </si>
  <si>
    <t>Why this Portfolio Meets the Brief</t>
  </si>
  <si>
    <t>Telangana CF</t>
  </si>
  <si>
    <t>Navi Finserv</t>
  </si>
  <si>
    <t>INE342T07544</t>
  </si>
  <si>
    <t>INE1C3207057</t>
  </si>
  <si>
    <t>AA</t>
  </si>
  <si>
    <t>A</t>
  </si>
  <si>
    <t>Cashflow  No.</t>
  </si>
  <si>
    <t>Note: Actual allocation exceeds the ₹1 crore target by ₹1,016.37 due to whole-unit bond allocation constraints.</t>
  </si>
  <si>
    <t>• Bonds selected from Wint Wealth’s live bond listings as of 27-Sep-2026.</t>
  </si>
  <si>
    <t>• All selected bonds are secured instruments with credit ratings of A- or above.</t>
  </si>
  <si>
    <t>• Coupon rates, YTMs, maturity dates and other bond terms are based on the respective bond listings.</t>
  </si>
  <si>
    <t>• Bonds are assumed to be held until maturity, with principal repaid at maturity.</t>
  </si>
  <si>
    <t>• Coupon receipts are recorded on the respective scheduled payment dates.</t>
  </si>
  <si>
    <t>• Portfolio XIRR is calculated using the actual dated cash flows.</t>
  </si>
  <si>
    <t>Assumption: Coupon payments are recorded on each bond’s scheduled payment date, and principal is redeemed at par on the respective maturity date. No reinvestment of interim coupons is assumed.</t>
  </si>
  <si>
    <t>Total Coupon</t>
  </si>
  <si>
    <t xml:space="preserve"> • The portfolio comprises 3 secured bonds selected to balance credit quality, diversification and return objectives.</t>
  </si>
  <si>
    <t>• Portfolio maturity and cash flows are evaluated based on the investor’s 15-month liquidity requirement.</t>
  </si>
  <si>
    <t>• Maturity and coupon cash flows are based on the respective bond terms and scheduled payment dates as listed on Wint Wealth.</t>
  </si>
  <si>
    <t>Note: The final bond in the portfolio matures on 31-Dec-2027 as per its stated bond terms. The maturity date reflects the bond’s contractual maturity and is therefore retained in the cash-flow schedule.</t>
  </si>
  <si>
    <r>
      <t xml:space="preserve">• </t>
    </r>
    <r>
      <rPr>
        <b/>
        <sz val="11"/>
        <color theme="1"/>
        <rFont val="Calibri"/>
        <family val="2"/>
        <scheme val="minor"/>
      </rPr>
      <t>Safety</t>
    </r>
    <r>
      <rPr>
        <sz val="11"/>
        <color theme="1"/>
        <rFont val="Calibri"/>
        <family val="2"/>
        <scheme val="minor"/>
      </rPr>
      <t>: every bond is rated A- or higher (secured Bonds).</t>
    </r>
  </si>
  <si>
    <r>
      <t xml:space="preserve">• The portfolio comprises 3 secured bonds selected to balance credit quality, </t>
    </r>
    <r>
      <rPr>
        <b/>
        <sz val="11"/>
        <color theme="1"/>
        <rFont val="Calibri"/>
        <family val="2"/>
        <scheme val="minor"/>
      </rPr>
      <t>diversification</t>
    </r>
    <r>
      <rPr>
        <sz val="11"/>
        <color theme="1"/>
        <rFont val="Calibri"/>
        <family val="2"/>
        <scheme val="minor"/>
      </rPr>
      <t xml:space="preserve"> and return objectives.</t>
    </r>
  </si>
  <si>
    <t>Achintya Securities</t>
  </si>
  <si>
    <t>Wint Wealth - Case Study Submission</t>
  </si>
  <si>
    <t>Conservative - capital safety is priority</t>
  </si>
  <si>
    <t>Navi Finserv (₹)</t>
  </si>
  <si>
    <t xml:space="preserve">Telangana CF (₹)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</si>
</sst>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164" formatCode="dd\-mmm\-yyyy"/>
    <numFmt numFmtId="165" formatCode="\$#,##0"/>
    <numFmt numFmtId="166" formatCode="0.0%"/>
    <numFmt numFmtId="167" formatCode="0.0"/>
    <numFmt numFmtId="168" formatCode="&quot;₹&quot;\ #,##0.00"/>
    <numFmt numFmtId="169" formatCode="0.0000"/>
    <numFmt numFmtId="170" formatCode="#,##0.00;\-#,##0.00;\-"/>
  </numFmts>
  <fonts count="2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Arial"/>
      <family val="2"/>
    </font>
    <font>
      <i/>
      <sz val="11"/>
      <color theme="1" tint="0.34998626667073579"/>
      <name val="Calibri"/>
      <family val="2"/>
    </font>
    <font>
      <b/>
      <sz val="11"/>
      <color rgb="FF1E276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b/>
      <sz val="10"/>
      <color rgb="FF555555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26"/>
      <color rgb="FF1E276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1E276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CADCFC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168" fontId="0" fillId="0" borderId="0" xfId="0" applyNumberFormat="1"/>
    <xf numFmtId="8" fontId="7" fillId="0" borderId="0" xfId="0" applyNumberFormat="1" applyFont="1" applyAlignment="1">
      <alignment vertical="center" wrapText="1"/>
    </xf>
    <xf numFmtId="0" fontId="12" fillId="0" borderId="0" xfId="0" applyFont="1"/>
    <xf numFmtId="0" fontId="6" fillId="0" borderId="0" xfId="0" applyFont="1"/>
    <xf numFmtId="164" fontId="13" fillId="0" borderId="0" xfId="0" applyNumberFormat="1" applyFont="1"/>
    <xf numFmtId="1" fontId="13" fillId="0" borderId="0" xfId="0" applyNumberFormat="1" applyFont="1"/>
    <xf numFmtId="0" fontId="13" fillId="0" borderId="0" xfId="0" applyFont="1" applyAlignment="1">
      <alignment horizontal="right"/>
    </xf>
    <xf numFmtId="166" fontId="13" fillId="0" borderId="0" xfId="0" applyNumberFormat="1" applyFont="1"/>
    <xf numFmtId="0" fontId="6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 vertical="center" wrapText="1"/>
    </xf>
    <xf numFmtId="169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/>
    <xf numFmtId="165" fontId="23" fillId="0" borderId="0" xfId="0" applyNumberFormat="1" applyFont="1"/>
    <xf numFmtId="10" fontId="23" fillId="0" borderId="0" xfId="0" applyNumberFormat="1" applyFont="1" applyAlignment="1">
      <alignment horizontal="center"/>
    </xf>
    <xf numFmtId="164" fontId="17" fillId="0" borderId="0" xfId="0" applyNumberFormat="1" applyFont="1"/>
    <xf numFmtId="170" fontId="3" fillId="0" borderId="1" xfId="0" applyNumberFormat="1" applyFont="1" applyBorder="1" applyAlignment="1">
      <alignment horizontal="center"/>
    </xf>
    <xf numFmtId="0" fontId="12" fillId="0" borderId="1" xfId="0" applyFont="1" applyBorder="1"/>
    <xf numFmtId="10" fontId="17" fillId="0" borderId="1" xfId="0" applyNumberFormat="1" applyFont="1" applyBorder="1"/>
    <xf numFmtId="167" fontId="17" fillId="0" borderId="1" xfId="0" applyNumberFormat="1" applyFont="1" applyBorder="1"/>
    <xf numFmtId="166" fontId="17" fillId="0" borderId="1" xfId="0" applyNumberFormat="1" applyFont="1" applyBorder="1"/>
    <xf numFmtId="164" fontId="17" fillId="0" borderId="1" xfId="0" applyNumberFormat="1" applyFont="1" applyBorder="1"/>
    <xf numFmtId="168" fontId="13" fillId="0" borderId="0" xfId="0" applyNumberFormat="1" applyFont="1"/>
    <xf numFmtId="168" fontId="17" fillId="0" borderId="1" xfId="0" applyNumberFormat="1" applyFont="1" applyBorder="1"/>
    <xf numFmtId="168" fontId="23" fillId="0" borderId="0" xfId="0" applyNumberFormat="1" applyFont="1" applyAlignment="1">
      <alignment horizontal="center"/>
    </xf>
    <xf numFmtId="0" fontId="25" fillId="0" borderId="1" xfId="0" applyFont="1" applyBorder="1" applyAlignment="1">
      <alignment horizontal="center"/>
    </xf>
    <xf numFmtId="15" fontId="25" fillId="0" borderId="1" xfId="0" applyNumberFormat="1" applyFont="1" applyBorder="1" applyAlignment="1">
      <alignment horizontal="center"/>
    </xf>
    <xf numFmtId="4" fontId="27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70" fontId="4" fillId="4" borderId="1" xfId="0" applyNumberFormat="1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0" fontId="26" fillId="6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0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8" fontId="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0" fontId="16" fillId="4" borderId="1" xfId="0" applyNumberFormat="1" applyFont="1" applyFill="1" applyBorder="1" applyAlignment="1">
      <alignment horizontal="center"/>
    </xf>
    <xf numFmtId="167" fontId="16" fillId="4" borderId="1" xfId="0" applyNumberFormat="1" applyFont="1" applyFill="1" applyBorder="1" applyAlignment="1">
      <alignment horizontal="center"/>
    </xf>
    <xf numFmtId="168" fontId="16" fillId="4" borderId="1" xfId="0" applyNumberFormat="1" applyFont="1" applyFill="1" applyBorder="1" applyAlignment="1">
      <alignment horizontal="center"/>
    </xf>
    <xf numFmtId="166" fontId="16" fillId="4" borderId="1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0" fillId="3" borderId="0" xfId="0" applyFont="1" applyFill="1"/>
    <xf numFmtId="0" fontId="1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wrapText="1"/>
    </xf>
    <xf numFmtId="0" fontId="10" fillId="3" borderId="1" xfId="0" applyFont="1" applyFill="1" applyBorder="1"/>
    <xf numFmtId="0" fontId="6" fillId="0" borderId="0" xfId="0" applyFont="1" applyAlignment="1">
      <alignment horizontal="left" wrapText="1"/>
    </xf>
  </cellXfs>
  <cellStyles count="2">
    <cellStyle name="Normal" xfId="0" builtinId="0"/>
    <cellStyle name="Normal 2" xfId="1" xr:uid="{C999D6D6-2EAD-4A2B-8509-E790B6B70BD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zoomScale="129" zoomScaleNormal="100" workbookViewId="0">
      <pane ySplit="2" topLeftCell="A3" activePane="bottomLeft" state="frozen"/>
      <selection pane="bottomLeft" activeCell="D27" sqref="D27"/>
    </sheetView>
  </sheetViews>
  <sheetFormatPr defaultColWidth="8.6640625" defaultRowHeight="14.4" x14ac:dyDescent="0.3"/>
  <cols>
    <col min="1" max="1" width="34" style="4" customWidth="1"/>
    <col min="2" max="2" width="58" style="4" customWidth="1"/>
    <col min="3" max="3" width="4" style="4" customWidth="1"/>
    <col min="4" max="5" width="30" style="4" customWidth="1"/>
  </cols>
  <sheetData>
    <row r="1" spans="1:5" ht="21.75" customHeight="1" x14ac:dyDescent="0.3">
      <c r="A1" s="66" t="s">
        <v>0</v>
      </c>
      <c r="B1" s="66"/>
      <c r="C1" s="66"/>
      <c r="D1" s="66"/>
      <c r="E1" s="66"/>
    </row>
    <row r="2" spans="1:5" ht="21.75" customHeight="1" x14ac:dyDescent="0.3">
      <c r="A2" s="66"/>
      <c r="B2" s="66"/>
      <c r="C2" s="66"/>
      <c r="D2" s="66"/>
      <c r="E2" s="66"/>
    </row>
    <row r="4" spans="1:5" ht="15" customHeight="1" x14ac:dyDescent="0.3">
      <c r="A4" s="3" t="s">
        <v>1</v>
      </c>
      <c r="B4" s="14" t="s">
        <v>2</v>
      </c>
    </row>
    <row r="5" spans="1:5" ht="15" customHeight="1" x14ac:dyDescent="0.3">
      <c r="A5" s="3" t="s">
        <v>3</v>
      </c>
      <c r="B5" s="14" t="s">
        <v>70</v>
      </c>
    </row>
    <row r="6" spans="1:5" ht="15" customHeight="1" x14ac:dyDescent="0.3">
      <c r="A6" s="3" t="s">
        <v>4</v>
      </c>
      <c r="B6" s="5">
        <v>46292</v>
      </c>
    </row>
    <row r="8" spans="1:5" ht="15" customHeight="1" x14ac:dyDescent="0.3">
      <c r="A8" s="65" t="s">
        <v>5</v>
      </c>
      <c r="B8" s="65"/>
    </row>
    <row r="9" spans="1:5" ht="15" customHeight="1" x14ac:dyDescent="0.3">
      <c r="A9" s="3" t="s">
        <v>6</v>
      </c>
      <c r="B9" s="28">
        <v>10000000</v>
      </c>
    </row>
    <row r="10" spans="1:5" ht="15" customHeight="1" x14ac:dyDescent="0.3">
      <c r="A10" s="3" t="s">
        <v>7</v>
      </c>
      <c r="B10" s="6">
        <v>15</v>
      </c>
    </row>
    <row r="11" spans="1:5" ht="15" customHeight="1" x14ac:dyDescent="0.3">
      <c r="A11" s="3" t="s">
        <v>8</v>
      </c>
      <c r="B11" s="7" t="s">
        <v>9</v>
      </c>
    </row>
    <row r="12" spans="1:5" ht="15" customHeight="1" x14ac:dyDescent="0.3">
      <c r="A12" s="3" t="s">
        <v>10</v>
      </c>
      <c r="B12" s="8">
        <v>0.1</v>
      </c>
    </row>
    <row r="13" spans="1:5" ht="15" customHeight="1" x14ac:dyDescent="0.3">
      <c r="A13" s="3" t="s">
        <v>11</v>
      </c>
      <c r="B13" s="7" t="s">
        <v>71</v>
      </c>
    </row>
    <row r="15" spans="1:5" ht="15" customHeight="1" x14ac:dyDescent="0.3">
      <c r="A15" s="65" t="s">
        <v>12</v>
      </c>
      <c r="B15" s="65"/>
    </row>
    <row r="16" spans="1:5" ht="15" customHeight="1" x14ac:dyDescent="0.3">
      <c r="A16" s="64" t="s">
        <v>13</v>
      </c>
      <c r="B16" s="64"/>
      <c r="C16" s="64"/>
      <c r="D16" s="64"/>
      <c r="E16" s="64"/>
    </row>
    <row r="17" spans="1:5" ht="15" customHeight="1" x14ac:dyDescent="0.3">
      <c r="A17" s="64" t="s">
        <v>14</v>
      </c>
      <c r="B17" s="64"/>
      <c r="C17" s="64"/>
      <c r="D17" s="64"/>
      <c r="E17" s="64"/>
    </row>
    <row r="18" spans="1:5" ht="15" customHeight="1" x14ac:dyDescent="0.3">
      <c r="A18" s="64" t="s">
        <v>15</v>
      </c>
      <c r="B18" s="64"/>
      <c r="C18" s="64"/>
      <c r="D18" s="64"/>
      <c r="E18" s="64"/>
    </row>
    <row r="20" spans="1:5" ht="15" customHeight="1" x14ac:dyDescent="0.3">
      <c r="A20" s="65" t="s">
        <v>16</v>
      </c>
      <c r="B20" s="65"/>
    </row>
    <row r="21" spans="1:5" x14ac:dyDescent="0.3">
      <c r="A21" s="62" t="s">
        <v>55</v>
      </c>
      <c r="B21" s="62"/>
    </row>
    <row r="22" spans="1:5" x14ac:dyDescent="0.3">
      <c r="A22" s="63" t="s">
        <v>56</v>
      </c>
      <c r="B22" s="63"/>
    </row>
    <row r="23" spans="1:5" x14ac:dyDescent="0.3">
      <c r="A23" s="63" t="s">
        <v>57</v>
      </c>
      <c r="B23" s="63"/>
    </row>
    <row r="24" spans="1:5" x14ac:dyDescent="0.3">
      <c r="A24" s="63" t="s">
        <v>58</v>
      </c>
      <c r="B24" s="63"/>
    </row>
    <row r="25" spans="1:5" x14ac:dyDescent="0.3">
      <c r="A25" s="63" t="s">
        <v>59</v>
      </c>
      <c r="B25" s="63"/>
    </row>
    <row r="26" spans="1:5" ht="15" customHeight="1" x14ac:dyDescent="0.3">
      <c r="A26" s="63" t="s">
        <v>60</v>
      </c>
      <c r="B26" s="63"/>
    </row>
    <row r="27" spans="1:5" ht="15" customHeight="1" x14ac:dyDescent="0.3"/>
    <row r="28" spans="1:5" ht="15" customHeight="1" x14ac:dyDescent="0.3"/>
  </sheetData>
  <mergeCells count="13">
    <mergeCell ref="A26:B26"/>
    <mergeCell ref="A18:E18"/>
    <mergeCell ref="A20:B20"/>
    <mergeCell ref="A1:E2"/>
    <mergeCell ref="A8:B8"/>
    <mergeCell ref="A15:B15"/>
    <mergeCell ref="A16:E16"/>
    <mergeCell ref="A17:E17"/>
    <mergeCell ref="A21:B21"/>
    <mergeCell ref="A22:B22"/>
    <mergeCell ref="A23:B23"/>
    <mergeCell ref="A24:B2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M19"/>
  <sheetViews>
    <sheetView showGridLines="0" zoomScale="142" zoomScaleNormal="131" workbookViewId="0">
      <selection sqref="A1:M1"/>
    </sheetView>
  </sheetViews>
  <sheetFormatPr defaultColWidth="8.6640625" defaultRowHeight="14.4" x14ac:dyDescent="0.3"/>
  <cols>
    <col min="1" max="1" width="16" customWidth="1"/>
    <col min="2" max="2" width="26.6640625" bestFit="1" customWidth="1"/>
    <col min="3" max="3" width="9" customWidth="1"/>
    <col min="4" max="4" width="13.44140625" customWidth="1"/>
    <col min="5" max="5" width="7.33203125" bestFit="1" customWidth="1"/>
    <col min="6" max="6" width="10" customWidth="1"/>
    <col min="7" max="7" width="15.44140625" bestFit="1" customWidth="1"/>
    <col min="8" max="8" width="7.44140625" bestFit="1" customWidth="1"/>
    <col min="9" max="10" width="13.77734375" bestFit="1" customWidth="1"/>
    <col min="11" max="11" width="17" bestFit="1" customWidth="1"/>
    <col min="12" max="12" width="13.77734375" bestFit="1" customWidth="1"/>
    <col min="13" max="13" width="15" customWidth="1"/>
  </cols>
  <sheetData>
    <row r="1" spans="1:13" ht="19.5" customHeight="1" x14ac:dyDescent="0.3">
      <c r="A1" s="60" t="s">
        <v>17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7.75" customHeight="1" x14ac:dyDescent="0.3">
      <c r="A3" s="15" t="s">
        <v>18</v>
      </c>
      <c r="B3" s="15" t="s">
        <v>19</v>
      </c>
      <c r="C3" s="15" t="s">
        <v>20</v>
      </c>
      <c r="D3" s="15" t="s">
        <v>21</v>
      </c>
      <c r="E3" s="15" t="s">
        <v>22</v>
      </c>
      <c r="F3" s="15" t="s">
        <v>23</v>
      </c>
      <c r="G3" s="15" t="s">
        <v>24</v>
      </c>
      <c r="H3" s="15" t="s">
        <v>25</v>
      </c>
      <c r="I3" s="4"/>
      <c r="J3" s="4"/>
      <c r="K3" s="4"/>
      <c r="L3" s="4"/>
      <c r="M3" s="4"/>
    </row>
    <row r="4" spans="1:13" ht="15" customHeight="1" x14ac:dyDescent="0.3">
      <c r="A4" s="47" t="s">
        <v>50</v>
      </c>
      <c r="B4" s="48" t="s">
        <v>47</v>
      </c>
      <c r="C4" s="48" t="s">
        <v>51</v>
      </c>
      <c r="D4" s="49">
        <v>9.35E-2</v>
      </c>
      <c r="E4" s="49">
        <v>0.08</v>
      </c>
      <c r="F4" s="50">
        <v>15</v>
      </c>
      <c r="G4" s="51">
        <v>2531369.27</v>
      </c>
      <c r="H4" s="52">
        <f>G4/$G$7</f>
        <v>0.25311120153680944</v>
      </c>
      <c r="I4" s="4"/>
      <c r="J4" s="4"/>
      <c r="K4" s="4"/>
      <c r="L4" s="4"/>
      <c r="M4" s="4"/>
    </row>
    <row r="5" spans="1:13" ht="15" customHeight="1" x14ac:dyDescent="0.3">
      <c r="A5" s="47" t="s">
        <v>49</v>
      </c>
      <c r="B5" s="48" t="s">
        <v>48</v>
      </c>
      <c r="C5" s="48" t="s">
        <v>52</v>
      </c>
      <c r="D5" s="49">
        <v>0.1075</v>
      </c>
      <c r="E5" s="49">
        <v>0.1075</v>
      </c>
      <c r="F5" s="50">
        <v>15</v>
      </c>
      <c r="G5" s="51">
        <v>3716518.03</v>
      </c>
      <c r="H5" s="52">
        <f>G5/$G$7</f>
        <v>0.3716140332645011</v>
      </c>
      <c r="I5" s="4"/>
      <c r="J5" s="4"/>
      <c r="K5" s="4"/>
      <c r="L5" s="4"/>
      <c r="M5" s="4"/>
    </row>
    <row r="6" spans="1:13" ht="15" customHeight="1" x14ac:dyDescent="0.3">
      <c r="A6" s="47" t="s">
        <v>27</v>
      </c>
      <c r="B6" s="48" t="s">
        <v>69</v>
      </c>
      <c r="C6" s="48" t="s">
        <v>26</v>
      </c>
      <c r="D6" s="49">
        <v>0.1</v>
      </c>
      <c r="E6" s="49">
        <v>0.11</v>
      </c>
      <c r="F6" s="50">
        <v>15</v>
      </c>
      <c r="G6" s="51">
        <v>3753129.07</v>
      </c>
      <c r="H6" s="52">
        <f>G6/$G$7</f>
        <v>0.37527476519868952</v>
      </c>
      <c r="I6" s="4"/>
      <c r="J6" s="4"/>
      <c r="K6" s="4"/>
      <c r="L6" s="4"/>
      <c r="M6" s="4"/>
    </row>
    <row r="7" spans="1:13" ht="15" customHeight="1" x14ac:dyDescent="0.3">
      <c r="A7" s="53"/>
      <c r="B7" s="54" t="s">
        <v>28</v>
      </c>
      <c r="C7" s="55"/>
      <c r="D7" s="56">
        <f>SUMPRODUCT(D4:D6,G4:G6)/G7</f>
        <v>0.1011418824394945</v>
      </c>
      <c r="E7" s="56">
        <f>SUMPRODUCT(E4:E6,G4:G6)/G7</f>
        <v>0.10147762887073447</v>
      </c>
      <c r="F7" s="57">
        <f>SUMPRODUCT(F4:F6,G4:G6)/G7</f>
        <v>15.000000000000002</v>
      </c>
      <c r="G7" s="58">
        <f>SUM(G4:G6)</f>
        <v>10001016.369999999</v>
      </c>
      <c r="H7" s="59">
        <f>SUM(H4:H6)</f>
        <v>1</v>
      </c>
      <c r="I7" s="4"/>
      <c r="J7" s="4"/>
      <c r="K7" s="4"/>
      <c r="L7" s="4"/>
      <c r="M7" s="4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" customHeight="1" x14ac:dyDescent="0.3">
      <c r="A9" s="61" t="s">
        <v>54</v>
      </c>
      <c r="B9" s="61"/>
      <c r="C9" s="61"/>
      <c r="D9" s="61"/>
      <c r="E9" s="61"/>
      <c r="F9" s="61"/>
      <c r="G9" s="61"/>
      <c r="H9" s="61"/>
      <c r="I9" s="4"/>
      <c r="J9" s="4"/>
      <c r="K9" s="4"/>
      <c r="L9" s="4"/>
      <c r="M9" s="4"/>
    </row>
    <row r="10" spans="1:13" ht="15" customHeight="1" x14ac:dyDescent="0.3"/>
    <row r="11" spans="1:13" ht="15" customHeight="1" x14ac:dyDescent="0.3"/>
    <row r="13" spans="1:13" ht="15" customHeight="1" x14ac:dyDescent="0.3"/>
    <row r="14" spans="1:13" ht="15" customHeight="1" x14ac:dyDescent="0.3">
      <c r="C14" s="16"/>
    </row>
    <row r="15" spans="1:13" ht="15" customHeight="1" x14ac:dyDescent="0.3"/>
    <row r="19" spans="9:9" x14ac:dyDescent="0.3">
      <c r="I19" s="2"/>
    </row>
  </sheetData>
  <mergeCells count="2">
    <mergeCell ref="A1:M1"/>
    <mergeCell ref="A9:H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zoomScale="123" zoomScaleNormal="145" workbookViewId="0">
      <pane ySplit="5" topLeftCell="A6" activePane="bottomLeft" state="frozen"/>
      <selection pane="bottomLeft" activeCell="G43" sqref="G43"/>
    </sheetView>
  </sheetViews>
  <sheetFormatPr defaultColWidth="8.6640625" defaultRowHeight="14.4" x14ac:dyDescent="0.3"/>
  <cols>
    <col min="1" max="1" width="9.33203125" customWidth="1"/>
    <col min="2" max="2" width="24" bestFit="1" customWidth="1"/>
    <col min="3" max="3" width="13.21875" bestFit="1" customWidth="1"/>
    <col min="4" max="4" width="14" bestFit="1" customWidth="1"/>
    <col min="5" max="5" width="13.109375" bestFit="1" customWidth="1"/>
    <col min="6" max="6" width="17" customWidth="1"/>
    <col min="7" max="7" width="16.109375" bestFit="1" customWidth="1"/>
    <col min="8" max="8" width="16" customWidth="1"/>
  </cols>
  <sheetData>
    <row r="1" spans="1:8" ht="19.5" customHeight="1" x14ac:dyDescent="0.3">
      <c r="A1" s="67" t="s">
        <v>29</v>
      </c>
      <c r="B1" s="67"/>
      <c r="C1" s="67"/>
      <c r="D1" s="67"/>
      <c r="E1" s="67"/>
      <c r="F1" s="67"/>
      <c r="G1" s="67"/>
      <c r="H1" s="67"/>
    </row>
    <row r="2" spans="1:8" ht="15" customHeight="1" x14ac:dyDescent="0.3">
      <c r="A2" s="68" t="s">
        <v>61</v>
      </c>
      <c r="B2" s="68"/>
      <c r="C2" s="68"/>
      <c r="D2" s="68"/>
      <c r="E2" s="68"/>
      <c r="F2" s="68"/>
      <c r="G2" s="68"/>
      <c r="H2" s="68"/>
    </row>
    <row r="3" spans="1:8" ht="15" customHeight="1" x14ac:dyDescent="0.3">
      <c r="A3" s="68"/>
      <c r="B3" s="68"/>
      <c r="C3" s="68"/>
      <c r="D3" s="68"/>
      <c r="E3" s="68"/>
      <c r="F3" s="68"/>
      <c r="G3" s="68"/>
      <c r="H3" s="68"/>
    </row>
    <row r="5" spans="1:8" ht="27.75" customHeight="1" x14ac:dyDescent="0.3">
      <c r="A5" s="10" t="s">
        <v>53</v>
      </c>
      <c r="B5" s="11" t="s">
        <v>4</v>
      </c>
      <c r="C5" s="11" t="s">
        <v>73</v>
      </c>
      <c r="D5" s="12" t="s">
        <v>72</v>
      </c>
      <c r="E5" s="11" t="s">
        <v>30</v>
      </c>
      <c r="F5" s="11"/>
      <c r="G5" s="11" t="s">
        <v>31</v>
      </c>
    </row>
    <row r="6" spans="1:8" ht="15" customHeight="1" x14ac:dyDescent="0.3">
      <c r="A6" s="31">
        <v>0</v>
      </c>
      <c r="B6" s="32">
        <v>46292</v>
      </c>
      <c r="C6" s="33">
        <f>-'Bond Selection'!G4</f>
        <v>-2531369.27</v>
      </c>
      <c r="D6" s="33">
        <f>-'Bond Selection'!G5</f>
        <v>-3716518.03</v>
      </c>
      <c r="E6" s="33">
        <f>-'Bond Selection'!$G$6</f>
        <v>-3753129.07</v>
      </c>
      <c r="F6" s="34"/>
      <c r="G6" s="35">
        <f>SUM(C6:E6)</f>
        <v>-10001016.369999999</v>
      </c>
    </row>
    <row r="7" spans="1:8" ht="15" customHeight="1" x14ac:dyDescent="0.3">
      <c r="A7" s="13">
        <f>A6+1</f>
        <v>1</v>
      </c>
      <c r="B7" s="36">
        <v>46308</v>
      </c>
      <c r="C7" s="22">
        <v>0</v>
      </c>
      <c r="D7" s="22">
        <v>32515.08</v>
      </c>
      <c r="E7" s="22">
        <v>0</v>
      </c>
      <c r="F7" s="37"/>
      <c r="G7" s="35">
        <f>SUM(C7:E7)</f>
        <v>32515.08</v>
      </c>
    </row>
    <row r="8" spans="1:8" ht="15" customHeight="1" x14ac:dyDescent="0.3">
      <c r="A8" s="13">
        <f t="shared" ref="A8:A40" si="0">A7+1</f>
        <v>2</v>
      </c>
      <c r="B8" s="36">
        <v>46321</v>
      </c>
      <c r="C8" s="22">
        <v>0</v>
      </c>
      <c r="D8" s="22">
        <v>0</v>
      </c>
      <c r="E8" s="22">
        <v>34084.949999999997</v>
      </c>
      <c r="F8" s="37"/>
      <c r="G8" s="35">
        <f t="shared" ref="G8:G40" si="1">SUM(C8:E8)</f>
        <v>34084.949999999997</v>
      </c>
    </row>
    <row r="9" spans="1:8" ht="15" customHeight="1" x14ac:dyDescent="0.3">
      <c r="A9" s="13">
        <f t="shared" si="0"/>
        <v>3</v>
      </c>
      <c r="B9" s="36">
        <v>46339</v>
      </c>
      <c r="C9" s="22">
        <v>0</v>
      </c>
      <c r="D9" s="22">
        <v>33598.92</v>
      </c>
      <c r="E9" s="22">
        <v>0</v>
      </c>
      <c r="F9" s="37"/>
      <c r="G9" s="35">
        <f t="shared" si="1"/>
        <v>33598.92</v>
      </c>
    </row>
    <row r="10" spans="1:8" ht="15" customHeight="1" x14ac:dyDescent="0.3">
      <c r="A10" s="13">
        <f t="shared" si="0"/>
        <v>4</v>
      </c>
      <c r="B10" s="36">
        <v>46352</v>
      </c>
      <c r="C10" s="22">
        <v>0</v>
      </c>
      <c r="D10" s="22">
        <v>0</v>
      </c>
      <c r="E10" s="22">
        <v>32019.74</v>
      </c>
      <c r="F10" s="37"/>
      <c r="G10" s="35">
        <f t="shared" si="1"/>
        <v>32019.74</v>
      </c>
    </row>
    <row r="11" spans="1:8" ht="15" customHeight="1" x14ac:dyDescent="0.3">
      <c r="A11" s="13">
        <f t="shared" si="0"/>
        <v>5</v>
      </c>
      <c r="B11" s="36">
        <v>46369</v>
      </c>
      <c r="C11" s="22">
        <v>0</v>
      </c>
      <c r="D11" s="22">
        <v>32515.08</v>
      </c>
      <c r="E11" s="22">
        <v>0</v>
      </c>
      <c r="F11" s="37"/>
      <c r="G11" s="35">
        <f t="shared" si="1"/>
        <v>32515.08</v>
      </c>
    </row>
    <row r="12" spans="1:8" ht="15" customHeight="1" x14ac:dyDescent="0.3">
      <c r="A12" s="13">
        <f t="shared" si="0"/>
        <v>6</v>
      </c>
      <c r="B12" s="36">
        <v>46382</v>
      </c>
      <c r="C12" s="22">
        <v>0</v>
      </c>
      <c r="D12" s="22">
        <v>0</v>
      </c>
      <c r="E12" s="22">
        <v>30985.25</v>
      </c>
      <c r="F12" s="37"/>
      <c r="G12" s="35">
        <f t="shared" si="1"/>
        <v>30985.25</v>
      </c>
    </row>
    <row r="13" spans="1:8" ht="15" customHeight="1" x14ac:dyDescent="0.3">
      <c r="A13" s="13">
        <f t="shared" si="0"/>
        <v>7</v>
      </c>
      <c r="B13" s="36">
        <v>46387</v>
      </c>
      <c r="C13" s="22">
        <v>58917.78</v>
      </c>
      <c r="D13" s="22">
        <v>0</v>
      </c>
      <c r="E13" s="22">
        <v>0</v>
      </c>
      <c r="F13" s="37"/>
      <c r="G13" s="35">
        <f t="shared" si="1"/>
        <v>58917.78</v>
      </c>
    </row>
    <row r="14" spans="1:8" ht="15" customHeight="1" x14ac:dyDescent="0.3">
      <c r="A14" s="13">
        <f t="shared" si="0"/>
        <v>8</v>
      </c>
      <c r="B14" s="36">
        <v>46400</v>
      </c>
      <c r="C14" s="22">
        <v>0</v>
      </c>
      <c r="D14" s="22">
        <v>33598.92</v>
      </c>
      <c r="E14" s="22">
        <v>0</v>
      </c>
      <c r="F14" s="37"/>
      <c r="G14" s="35">
        <f t="shared" si="1"/>
        <v>33598.92</v>
      </c>
    </row>
    <row r="15" spans="1:8" ht="15" customHeight="1" x14ac:dyDescent="0.3">
      <c r="A15" s="13">
        <f t="shared" si="0"/>
        <v>9</v>
      </c>
      <c r="B15" s="36">
        <v>46413</v>
      </c>
      <c r="C15" s="22">
        <v>0</v>
      </c>
      <c r="D15" s="22">
        <v>0</v>
      </c>
      <c r="E15" s="22">
        <v>32019.74</v>
      </c>
      <c r="F15" s="37"/>
      <c r="G15" s="35">
        <f t="shared" si="1"/>
        <v>32019.74</v>
      </c>
    </row>
    <row r="16" spans="1:8" ht="15" customHeight="1" x14ac:dyDescent="0.3">
      <c r="A16" s="13">
        <f t="shared" si="0"/>
        <v>10</v>
      </c>
      <c r="B16" s="36">
        <v>46431</v>
      </c>
      <c r="C16" s="22">
        <v>0</v>
      </c>
      <c r="D16" s="22">
        <v>33598.92</v>
      </c>
      <c r="E16" s="22">
        <v>0</v>
      </c>
      <c r="F16" s="37"/>
      <c r="G16" s="35">
        <f t="shared" si="1"/>
        <v>33598.92</v>
      </c>
    </row>
    <row r="17" spans="1:7" ht="15" customHeight="1" x14ac:dyDescent="0.3">
      <c r="A17" s="13">
        <f t="shared" si="0"/>
        <v>11</v>
      </c>
      <c r="B17" s="36">
        <v>46444</v>
      </c>
      <c r="C17" s="22">
        <v>0</v>
      </c>
      <c r="D17" s="22">
        <v>0</v>
      </c>
      <c r="E17" s="22">
        <f>32019.74+1256665.41</f>
        <v>1288685.1499999999</v>
      </c>
      <c r="F17" s="37"/>
      <c r="G17" s="35">
        <f t="shared" si="1"/>
        <v>1288685.1499999999</v>
      </c>
    </row>
    <row r="18" spans="1:7" ht="15" customHeight="1" x14ac:dyDescent="0.3">
      <c r="A18" s="13">
        <f t="shared" si="0"/>
        <v>12</v>
      </c>
      <c r="B18" s="36">
        <v>46459</v>
      </c>
      <c r="C18" s="22">
        <v>0</v>
      </c>
      <c r="D18" s="22">
        <v>30347.41</v>
      </c>
      <c r="E18" s="22">
        <v>0</v>
      </c>
      <c r="F18" s="37"/>
      <c r="G18" s="35">
        <f t="shared" si="1"/>
        <v>30347.41</v>
      </c>
    </row>
    <row r="19" spans="1:7" ht="15" customHeight="1" x14ac:dyDescent="0.3">
      <c r="A19" s="13">
        <f t="shared" si="0"/>
        <v>13</v>
      </c>
      <c r="B19" s="36">
        <v>46472</v>
      </c>
      <c r="C19" s="22">
        <v>0</v>
      </c>
      <c r="D19" s="22">
        <v>0</v>
      </c>
      <c r="E19" s="22">
        <v>19281.29</v>
      </c>
      <c r="F19" s="37"/>
      <c r="G19" s="35">
        <f t="shared" si="1"/>
        <v>19281.29</v>
      </c>
    </row>
    <row r="20" spans="1:7" ht="15" customHeight="1" x14ac:dyDescent="0.3">
      <c r="A20" s="13">
        <f t="shared" si="0"/>
        <v>14</v>
      </c>
      <c r="B20" s="36">
        <v>46477</v>
      </c>
      <c r="C20" s="22">
        <f>57636.95+625000</f>
        <v>682636.95</v>
      </c>
      <c r="D20" s="22">
        <v>0</v>
      </c>
      <c r="E20" s="22">
        <v>0</v>
      </c>
      <c r="F20" s="37"/>
      <c r="G20" s="35">
        <f t="shared" si="1"/>
        <v>682636.95</v>
      </c>
    </row>
    <row r="21" spans="1:7" ht="15" customHeight="1" x14ac:dyDescent="0.3">
      <c r="A21" s="13">
        <f t="shared" si="0"/>
        <v>15</v>
      </c>
      <c r="B21" s="36">
        <v>46490</v>
      </c>
      <c r="C21" s="22">
        <v>0</v>
      </c>
      <c r="D21" s="22">
        <v>33598.92</v>
      </c>
      <c r="E21" s="22">
        <v>0</v>
      </c>
      <c r="F21" s="37"/>
      <c r="G21" s="35">
        <f t="shared" si="1"/>
        <v>33598.92</v>
      </c>
    </row>
    <row r="22" spans="1:7" ht="15" customHeight="1" x14ac:dyDescent="0.3">
      <c r="A22" s="13">
        <f t="shared" si="0"/>
        <v>16</v>
      </c>
      <c r="B22" s="36">
        <v>46503</v>
      </c>
      <c r="C22" s="22">
        <v>0</v>
      </c>
      <c r="D22" s="22">
        <v>0</v>
      </c>
      <c r="E22" s="22">
        <v>21346.49</v>
      </c>
      <c r="F22" s="37"/>
      <c r="G22" s="35">
        <f t="shared" si="1"/>
        <v>21346.49</v>
      </c>
    </row>
    <row r="23" spans="1:7" ht="15" customHeight="1" x14ac:dyDescent="0.3">
      <c r="A23" s="13">
        <f t="shared" si="0"/>
        <v>17</v>
      </c>
      <c r="B23" s="36">
        <v>46520</v>
      </c>
      <c r="C23" s="22">
        <v>0</v>
      </c>
      <c r="D23" s="22">
        <v>32515.08</v>
      </c>
      <c r="E23" s="22">
        <v>0</v>
      </c>
      <c r="F23" s="37"/>
      <c r="G23" s="35">
        <f t="shared" si="1"/>
        <v>32515.08</v>
      </c>
    </row>
    <row r="24" spans="1:7" ht="15" customHeight="1" x14ac:dyDescent="0.3">
      <c r="A24" s="13">
        <f t="shared" si="0"/>
        <v>18</v>
      </c>
      <c r="B24" s="36">
        <v>46533</v>
      </c>
      <c r="C24" s="22">
        <v>0</v>
      </c>
      <c r="D24" s="22">
        <v>0</v>
      </c>
      <c r="E24" s="22">
        <v>20655.45</v>
      </c>
      <c r="F24" s="37"/>
      <c r="G24" s="35">
        <f t="shared" si="1"/>
        <v>20655.45</v>
      </c>
    </row>
    <row r="25" spans="1:7" ht="15" customHeight="1" x14ac:dyDescent="0.3">
      <c r="A25" s="13">
        <f t="shared" si="0"/>
        <v>19</v>
      </c>
      <c r="B25" s="36">
        <v>46551</v>
      </c>
      <c r="C25" s="22">
        <v>0</v>
      </c>
      <c r="D25" s="22">
        <v>33598.92</v>
      </c>
      <c r="E25" s="22">
        <v>0</v>
      </c>
      <c r="F25" s="37"/>
      <c r="G25" s="35">
        <f t="shared" si="1"/>
        <v>33598.92</v>
      </c>
    </row>
    <row r="26" spans="1:7" ht="15" customHeight="1" x14ac:dyDescent="0.3">
      <c r="A26" s="13">
        <f t="shared" si="0"/>
        <v>20</v>
      </c>
      <c r="B26" s="36">
        <v>46564</v>
      </c>
      <c r="C26" s="22">
        <v>0</v>
      </c>
      <c r="D26" s="22">
        <v>0</v>
      </c>
      <c r="E26" s="22">
        <v>21346.49</v>
      </c>
      <c r="F26" s="37"/>
      <c r="G26" s="35">
        <f t="shared" si="1"/>
        <v>21346.49</v>
      </c>
    </row>
    <row r="27" spans="1:7" ht="15" customHeight="1" x14ac:dyDescent="0.3">
      <c r="A27" s="13">
        <f t="shared" si="0"/>
        <v>21</v>
      </c>
      <c r="B27" s="36">
        <v>46568</v>
      </c>
      <c r="C27" s="22">
        <f>43708.06+625000</f>
        <v>668708.06000000006</v>
      </c>
      <c r="D27" s="22">
        <v>0</v>
      </c>
      <c r="E27" s="22">
        <v>0</v>
      </c>
      <c r="F27" s="37"/>
      <c r="G27" s="35">
        <f t="shared" si="1"/>
        <v>668708.06000000006</v>
      </c>
    </row>
    <row r="28" spans="1:7" ht="15" customHeight="1" x14ac:dyDescent="0.3">
      <c r="A28" s="13">
        <f t="shared" si="0"/>
        <v>22</v>
      </c>
      <c r="B28" s="36">
        <v>46581</v>
      </c>
      <c r="C28" s="22">
        <v>0</v>
      </c>
      <c r="D28" s="22">
        <v>32515.08</v>
      </c>
      <c r="E28" s="22">
        <v>0</v>
      </c>
      <c r="F28" s="37"/>
      <c r="G28" s="35">
        <f t="shared" si="1"/>
        <v>32515.08</v>
      </c>
    </row>
    <row r="29" spans="1:7" ht="15" customHeight="1" x14ac:dyDescent="0.3">
      <c r="A29" s="13">
        <f t="shared" si="0"/>
        <v>23</v>
      </c>
      <c r="B29" s="36">
        <v>46594</v>
      </c>
      <c r="C29" s="22">
        <v>0</v>
      </c>
      <c r="D29" s="22">
        <v>0</v>
      </c>
      <c r="E29" s="22">
        <f>20655.45+1256665.41</f>
        <v>1277320.8599999999</v>
      </c>
      <c r="F29" s="37"/>
      <c r="G29" s="35">
        <f t="shared" si="1"/>
        <v>1277320.8599999999</v>
      </c>
    </row>
    <row r="30" spans="1:7" ht="15" customHeight="1" x14ac:dyDescent="0.3">
      <c r="A30" s="13">
        <f t="shared" si="0"/>
        <v>24</v>
      </c>
      <c r="B30" s="36">
        <v>46612</v>
      </c>
      <c r="C30" s="22">
        <v>0</v>
      </c>
      <c r="D30" s="22">
        <v>33598.92</v>
      </c>
      <c r="E30" s="22">
        <v>0</v>
      </c>
      <c r="F30" s="37"/>
      <c r="G30" s="35">
        <f t="shared" si="1"/>
        <v>33598.92</v>
      </c>
    </row>
    <row r="31" spans="1:7" ht="15" customHeight="1" x14ac:dyDescent="0.3">
      <c r="A31" s="13">
        <f t="shared" si="0"/>
        <v>25</v>
      </c>
      <c r="B31" s="36">
        <v>46625</v>
      </c>
      <c r="C31" s="22">
        <v>0</v>
      </c>
      <c r="D31" s="22">
        <v>0</v>
      </c>
      <c r="E31" s="22">
        <v>10673.25</v>
      </c>
      <c r="F31" s="37"/>
      <c r="G31" s="35">
        <f t="shared" si="1"/>
        <v>10673.25</v>
      </c>
    </row>
    <row r="32" spans="1:7" ht="15" customHeight="1" x14ac:dyDescent="0.3">
      <c r="A32" s="13">
        <f t="shared" si="0"/>
        <v>26</v>
      </c>
      <c r="B32" s="36">
        <v>46643</v>
      </c>
      <c r="C32" s="22">
        <v>0</v>
      </c>
      <c r="D32" s="22">
        <v>33598.92</v>
      </c>
      <c r="E32" s="22">
        <v>0</v>
      </c>
      <c r="F32" s="37"/>
      <c r="G32" s="35">
        <f t="shared" si="1"/>
        <v>33598.92</v>
      </c>
    </row>
    <row r="33" spans="1:7" ht="15" customHeight="1" x14ac:dyDescent="0.3">
      <c r="A33" s="13">
        <f t="shared" si="0"/>
        <v>27</v>
      </c>
      <c r="B33" s="36">
        <v>46656</v>
      </c>
      <c r="C33" s="22">
        <v>0</v>
      </c>
      <c r="D33" s="22">
        <v>0</v>
      </c>
      <c r="E33" s="22">
        <v>10673.25</v>
      </c>
      <c r="F33" s="37"/>
      <c r="G33" s="35">
        <f t="shared" si="1"/>
        <v>10673.25</v>
      </c>
    </row>
    <row r="34" spans="1:7" ht="15" customHeight="1" x14ac:dyDescent="0.3">
      <c r="A34" s="13">
        <f t="shared" si="0"/>
        <v>28</v>
      </c>
      <c r="B34" s="36">
        <v>46660</v>
      </c>
      <c r="C34" s="22">
        <f>29458.89+625000</f>
        <v>654458.89</v>
      </c>
      <c r="D34" s="22">
        <v>0</v>
      </c>
      <c r="E34" s="22">
        <v>0</v>
      </c>
      <c r="F34" s="37"/>
      <c r="G34" s="35">
        <f t="shared" si="1"/>
        <v>654458.89</v>
      </c>
    </row>
    <row r="35" spans="1:7" ht="15" customHeight="1" x14ac:dyDescent="0.3">
      <c r="A35" s="13">
        <f t="shared" si="0"/>
        <v>29</v>
      </c>
      <c r="B35" s="36">
        <v>46673</v>
      </c>
      <c r="C35" s="22">
        <v>0</v>
      </c>
      <c r="D35" s="22">
        <v>32515.08</v>
      </c>
      <c r="E35" s="22">
        <v>0</v>
      </c>
      <c r="F35" s="37"/>
      <c r="G35" s="35">
        <f t="shared" si="1"/>
        <v>32515.08</v>
      </c>
    </row>
    <row r="36" spans="1:7" ht="15" customHeight="1" x14ac:dyDescent="0.3">
      <c r="A36" s="13">
        <f t="shared" si="0"/>
        <v>30</v>
      </c>
      <c r="B36" s="36">
        <v>46686</v>
      </c>
      <c r="C36" s="22">
        <v>0</v>
      </c>
      <c r="D36" s="22">
        <v>0</v>
      </c>
      <c r="E36" s="22">
        <v>10329.799999999999</v>
      </c>
      <c r="F36" s="37"/>
      <c r="G36" s="35">
        <f t="shared" si="1"/>
        <v>10329.799999999999</v>
      </c>
    </row>
    <row r="37" spans="1:7" ht="15" customHeight="1" x14ac:dyDescent="0.3">
      <c r="A37" s="13">
        <f t="shared" si="0"/>
        <v>31</v>
      </c>
      <c r="B37" s="36">
        <v>46704</v>
      </c>
      <c r="C37" s="22">
        <v>0</v>
      </c>
      <c r="D37" s="22">
        <v>33598.92</v>
      </c>
      <c r="E37" s="22">
        <v>0</v>
      </c>
      <c r="F37" s="37"/>
      <c r="G37" s="35">
        <f t="shared" si="1"/>
        <v>33598.92</v>
      </c>
    </row>
    <row r="38" spans="1:7" ht="15" customHeight="1" x14ac:dyDescent="0.3">
      <c r="A38" s="13">
        <f t="shared" si="0"/>
        <v>32</v>
      </c>
      <c r="B38" s="36">
        <v>46717</v>
      </c>
      <c r="C38" s="22">
        <v>0</v>
      </c>
      <c r="D38" s="22">
        <v>0</v>
      </c>
      <c r="E38" s="22">
        <v>10673.25</v>
      </c>
      <c r="F38" s="37"/>
      <c r="G38" s="35">
        <f t="shared" si="1"/>
        <v>10673.25</v>
      </c>
    </row>
    <row r="39" spans="1:7" ht="15" customHeight="1" x14ac:dyDescent="0.3">
      <c r="A39" s="13">
        <f t="shared" si="0"/>
        <v>33</v>
      </c>
      <c r="B39" s="36">
        <v>46747</v>
      </c>
      <c r="C39" s="22">
        <v>0</v>
      </c>
      <c r="D39" s="22">
        <v>0</v>
      </c>
      <c r="E39" s="22">
        <f>10329.8+1256669.18</f>
        <v>1266998.98</v>
      </c>
      <c r="F39" s="37"/>
      <c r="G39" s="35">
        <f t="shared" si="1"/>
        <v>1266998.98</v>
      </c>
    </row>
    <row r="40" spans="1:7" ht="15" customHeight="1" x14ac:dyDescent="0.3">
      <c r="A40" s="13">
        <f t="shared" si="0"/>
        <v>34</v>
      </c>
      <c r="B40" s="36">
        <v>46752</v>
      </c>
      <c r="C40" s="22">
        <f>14729.45+625000</f>
        <v>639729.44999999995</v>
      </c>
      <c r="D40" s="22">
        <f>52024.12+3680000</f>
        <v>3732024.12</v>
      </c>
      <c r="E40" s="22">
        <v>0</v>
      </c>
      <c r="F40" s="37"/>
      <c r="G40" s="35">
        <f t="shared" si="1"/>
        <v>4371753.57</v>
      </c>
    </row>
    <row r="41" spans="1:7" x14ac:dyDescent="0.3">
      <c r="G41" s="1"/>
    </row>
    <row r="42" spans="1:7" ht="15" customHeight="1" x14ac:dyDescent="0.3">
      <c r="B42" s="38" t="s">
        <v>32</v>
      </c>
      <c r="C42" s="39"/>
      <c r="D42" s="40"/>
      <c r="E42" s="40"/>
      <c r="F42" s="41"/>
      <c r="G42" s="42">
        <f>SUM(G6:G40)</f>
        <v>984266.98999999976</v>
      </c>
    </row>
    <row r="43" spans="1:7" ht="15" customHeight="1" x14ac:dyDescent="0.3">
      <c r="B43" s="38" t="s">
        <v>33</v>
      </c>
      <c r="C43" s="43"/>
      <c r="D43" s="44"/>
      <c r="E43" s="44"/>
      <c r="F43" s="45"/>
      <c r="G43" s="46">
        <f>XIRR(G6:G40,B6:B40)</f>
        <v>0.10280469059944153</v>
      </c>
    </row>
  </sheetData>
  <mergeCells count="2">
    <mergeCell ref="A1:H1"/>
    <mergeCell ref="A2:H3"/>
  </mergeCells>
  <pageMargins left="0.75" right="0.75" top="1" bottom="1" header="0.511811023622047" footer="0.511811023622047"/>
  <pageSetup paperSize="9" orientation="portrait" horizontalDpi="300" verticalDpi="300"/>
  <ignoredErrors>
    <ignoredError sqref="G7:G4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F29"/>
  <sheetViews>
    <sheetView showGridLines="0" tabSelected="1" zoomScale="126" zoomScaleNormal="100" workbookViewId="0">
      <pane ySplit="1" topLeftCell="A2" activePane="bottomLeft" state="frozen"/>
      <selection pane="bottomLeft" activeCell="A31" sqref="A31"/>
    </sheetView>
  </sheetViews>
  <sheetFormatPr defaultColWidth="8.6640625" defaultRowHeight="14.4" x14ac:dyDescent="0.3"/>
  <cols>
    <col min="1" max="1" width="56.5546875" bestFit="1" customWidth="1"/>
    <col min="2" max="2" width="20" customWidth="1"/>
    <col min="3" max="3" width="4" customWidth="1"/>
    <col min="4" max="4" width="32.5546875" bestFit="1" customWidth="1"/>
    <col min="5" max="6" width="20" customWidth="1"/>
  </cols>
  <sheetData>
    <row r="1" spans="1:6" ht="19.5" customHeight="1" x14ac:dyDescent="0.3">
      <c r="A1" s="60" t="s">
        <v>34</v>
      </c>
      <c r="B1" s="60"/>
      <c r="C1" s="60"/>
      <c r="D1" s="60"/>
      <c r="E1" s="60"/>
      <c r="F1" s="60"/>
    </row>
    <row r="2" spans="1:6" x14ac:dyDescent="0.3">
      <c r="A2" s="4"/>
      <c r="B2" s="4"/>
      <c r="C2" s="4"/>
      <c r="D2" s="4"/>
      <c r="E2" s="4"/>
      <c r="F2" s="4"/>
    </row>
    <row r="3" spans="1:6" ht="15.75" customHeight="1" x14ac:dyDescent="0.3">
      <c r="A3" s="17" t="s">
        <v>35</v>
      </c>
      <c r="B3" s="4"/>
      <c r="C3" s="18"/>
      <c r="D3" s="17" t="s">
        <v>33</v>
      </c>
      <c r="E3" s="4"/>
      <c r="F3" s="4"/>
    </row>
    <row r="4" spans="1:6" ht="33.75" customHeight="1" x14ac:dyDescent="0.65">
      <c r="A4" s="30">
        <f>'Bond Selection'!G7</f>
        <v>10001016.369999999</v>
      </c>
      <c r="B4" s="4"/>
      <c r="C4" s="19"/>
      <c r="D4" s="20">
        <f>'Cash Flow Schedule'!G43</f>
        <v>0.10280469059944153</v>
      </c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ht="15" customHeight="1" x14ac:dyDescent="0.3">
      <c r="A7" s="70" t="s">
        <v>36</v>
      </c>
      <c r="B7" s="70"/>
      <c r="C7" s="4"/>
      <c r="D7" s="4"/>
      <c r="E7" s="4"/>
      <c r="F7" s="4"/>
    </row>
    <row r="8" spans="1:6" ht="15" customHeight="1" x14ac:dyDescent="0.3">
      <c r="A8" s="23" t="s">
        <v>37</v>
      </c>
      <c r="B8" s="29">
        <f>'Bond Selection'!G7</f>
        <v>10001016.369999999</v>
      </c>
      <c r="C8" s="4"/>
      <c r="D8" s="4"/>
      <c r="E8" s="4"/>
      <c r="F8" s="4"/>
    </row>
    <row r="9" spans="1:6" ht="15" customHeight="1" x14ac:dyDescent="0.3">
      <c r="A9" s="23" t="s">
        <v>38</v>
      </c>
      <c r="B9" s="24">
        <f>'Bond Selection'!D7</f>
        <v>0.1011418824394945</v>
      </c>
      <c r="C9" s="4"/>
      <c r="D9" s="4"/>
      <c r="E9" s="4"/>
      <c r="F9" s="4"/>
    </row>
    <row r="10" spans="1:6" ht="15" customHeight="1" x14ac:dyDescent="0.3">
      <c r="A10" s="23" t="s">
        <v>39</v>
      </c>
      <c r="B10" s="24">
        <f>'Bond Selection'!E7</f>
        <v>0.10147762887073447</v>
      </c>
      <c r="C10" s="4"/>
      <c r="D10" s="4"/>
      <c r="E10" s="4"/>
      <c r="F10" s="4"/>
    </row>
    <row r="11" spans="1:6" ht="15" customHeight="1" x14ac:dyDescent="0.3">
      <c r="A11" s="23" t="s">
        <v>40</v>
      </c>
      <c r="B11" s="25">
        <f>'Bond Selection'!F7</f>
        <v>15.000000000000002</v>
      </c>
      <c r="C11" s="4"/>
      <c r="D11" s="4"/>
      <c r="E11" s="4"/>
      <c r="F11" s="4"/>
    </row>
    <row r="12" spans="1:6" ht="15" customHeight="1" x14ac:dyDescent="0.3">
      <c r="A12" s="23" t="s">
        <v>62</v>
      </c>
      <c r="B12" s="29">
        <f>'Cash Flow Schedule'!G42</f>
        <v>984266.98999999976</v>
      </c>
      <c r="C12" s="4"/>
      <c r="D12" s="4"/>
      <c r="E12" s="4"/>
      <c r="F12" s="4"/>
    </row>
    <row r="13" spans="1:6" ht="15" customHeight="1" x14ac:dyDescent="0.3">
      <c r="A13" s="23" t="s">
        <v>41</v>
      </c>
      <c r="B13" s="24">
        <f>'Cash Flow Schedule'!G43</f>
        <v>0.10280469059944153</v>
      </c>
      <c r="C13" s="4"/>
      <c r="D13" s="4"/>
      <c r="E13" s="4"/>
      <c r="F13" s="4"/>
    </row>
    <row r="14" spans="1:6" ht="15" customHeight="1" x14ac:dyDescent="0.3">
      <c r="A14" s="23" t="s">
        <v>42</v>
      </c>
      <c r="B14" s="26">
        <f>'Investor Profile'!B12</f>
        <v>0.1</v>
      </c>
      <c r="C14" s="4"/>
      <c r="D14" s="4"/>
      <c r="E14" s="4"/>
      <c r="F14" s="4"/>
    </row>
    <row r="15" spans="1:6" ht="15" customHeight="1" x14ac:dyDescent="0.3">
      <c r="A15" s="23" t="s">
        <v>43</v>
      </c>
      <c r="B15" s="24">
        <f>B13-B14</f>
        <v>2.8046905994415228E-3</v>
      </c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ht="15" customHeight="1" x14ac:dyDescent="0.3">
      <c r="A17" s="70" t="s">
        <v>44</v>
      </c>
      <c r="B17" s="70"/>
      <c r="C17" s="4"/>
      <c r="D17" s="4"/>
      <c r="E17" s="4"/>
      <c r="F17" s="4"/>
    </row>
    <row r="18" spans="1:6" ht="15" customHeight="1" x14ac:dyDescent="0.3">
      <c r="A18" s="23" t="s">
        <v>45</v>
      </c>
      <c r="B18" s="27">
        <f>'Cash Flow Schedule'!B40</f>
        <v>46752</v>
      </c>
      <c r="C18" s="4"/>
      <c r="D18" s="4"/>
      <c r="E18" s="4"/>
      <c r="F18" s="4"/>
    </row>
    <row r="19" spans="1:6" ht="15" customHeight="1" x14ac:dyDescent="0.3">
      <c r="A19" s="3"/>
      <c r="B19" s="21"/>
      <c r="C19" s="4"/>
      <c r="D19" s="4"/>
      <c r="E19" s="4"/>
      <c r="F19" s="4"/>
    </row>
    <row r="20" spans="1:6" ht="15" customHeight="1" x14ac:dyDescent="0.3">
      <c r="A20" s="65" t="s">
        <v>46</v>
      </c>
      <c r="B20" s="65"/>
      <c r="C20" s="65"/>
      <c r="D20" s="65"/>
      <c r="E20" s="65"/>
      <c r="F20" s="65"/>
    </row>
    <row r="21" spans="1:6" x14ac:dyDescent="0.3">
      <c r="A21" s="71" t="s">
        <v>67</v>
      </c>
      <c r="B21" s="71"/>
      <c r="C21" s="71"/>
      <c r="D21" s="71"/>
      <c r="E21" s="71"/>
      <c r="F21" s="71"/>
    </row>
    <row r="22" spans="1:6" x14ac:dyDescent="0.3">
      <c r="A22" s="9" t="s">
        <v>63</v>
      </c>
      <c r="B22" s="9"/>
      <c r="C22" s="9"/>
      <c r="D22" s="9"/>
      <c r="E22" s="9"/>
      <c r="F22" s="9"/>
    </row>
    <row r="23" spans="1:6" x14ac:dyDescent="0.3">
      <c r="A23" s="9" t="s">
        <v>64</v>
      </c>
      <c r="B23" s="9"/>
      <c r="C23" s="9"/>
      <c r="D23" s="9"/>
      <c r="E23" s="9"/>
      <c r="F23" s="9"/>
    </row>
    <row r="24" spans="1:6" x14ac:dyDescent="0.3">
      <c r="A24" s="9" t="s">
        <v>68</v>
      </c>
      <c r="B24" s="9"/>
      <c r="C24" s="9"/>
      <c r="D24" s="9"/>
      <c r="E24" s="9"/>
      <c r="F24" s="9"/>
    </row>
    <row r="25" spans="1:6" x14ac:dyDescent="0.3">
      <c r="A25" s="9" t="s">
        <v>65</v>
      </c>
      <c r="B25" s="9"/>
      <c r="C25" s="9"/>
      <c r="D25" s="9"/>
      <c r="E25" s="9"/>
      <c r="F25" s="9"/>
    </row>
    <row r="26" spans="1:6" ht="15" customHeight="1" x14ac:dyDescent="0.3">
      <c r="A26" s="4"/>
      <c r="B26" s="4"/>
      <c r="C26" s="4"/>
      <c r="D26" s="4"/>
      <c r="E26" s="4"/>
      <c r="F26" s="4"/>
    </row>
    <row r="27" spans="1:6" ht="15" customHeight="1" x14ac:dyDescent="0.3">
      <c r="A27" s="69" t="s">
        <v>66</v>
      </c>
      <c r="B27" s="69"/>
      <c r="C27" s="69"/>
      <c r="D27" s="69"/>
      <c r="E27" s="4"/>
      <c r="F27" s="4"/>
    </row>
    <row r="28" spans="1:6" ht="15" customHeight="1" x14ac:dyDescent="0.3">
      <c r="A28" s="69"/>
      <c r="B28" s="69"/>
      <c r="C28" s="69"/>
      <c r="D28" s="69"/>
      <c r="E28" s="4"/>
      <c r="F28" s="4"/>
    </row>
    <row r="29" spans="1:6" x14ac:dyDescent="0.3">
      <c r="A29" s="4"/>
      <c r="B29" s="4"/>
      <c r="C29" s="4"/>
      <c r="D29" s="4"/>
      <c r="E29" s="4"/>
      <c r="F29" s="4"/>
    </row>
  </sheetData>
  <mergeCells count="6">
    <mergeCell ref="A27:D28"/>
    <mergeCell ref="A1:F1"/>
    <mergeCell ref="A7:B7"/>
    <mergeCell ref="A17:B17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Investor Profile</vt:lpstr>
      <vt:lpstr>Bond Selection</vt:lpstr>
      <vt:lpstr>Cash Flow Schedule</vt:lpstr>
      <vt:lpstr>Returns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purohit</cp:lastModifiedBy>
  <cp:revision>0</cp:revision>
  <dcterms:created xsi:type="dcterms:W3CDTF">2026-09-27T11:33:33Z</dcterms:created>
  <dcterms:modified xsi:type="dcterms:W3CDTF">2026-09-27T21:33:49Z</dcterms:modified>
  <dc:language>en-US</dc:language>
</cp:coreProperties>
</file>